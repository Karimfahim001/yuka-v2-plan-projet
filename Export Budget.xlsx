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sca salome\Documents\"/>
    </mc:Choice>
  </mc:AlternateContent>
  <xr:revisionPtr revIDLastSave="0" documentId="8_{327BEAF6-1C82-4441-82EE-1206A38EFD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elloExport" sheetId="1" r:id="rId1"/>
    <sheet name="Archiv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1" l="1"/>
  <c r="H57" i="1"/>
  <c r="G57" i="1"/>
  <c r="F57" i="1"/>
  <c r="E57" i="1"/>
  <c r="D57" i="1"/>
  <c r="C57" i="1"/>
  <c r="J55" i="1"/>
  <c r="J56" i="1"/>
  <c r="I56" i="1"/>
  <c r="F56" i="1"/>
  <c r="C56" i="1"/>
  <c r="H55" i="1"/>
  <c r="G55" i="1"/>
  <c r="F55" i="1"/>
  <c r="E55" i="1"/>
  <c r="D55" i="1"/>
  <c r="C55" i="1"/>
  <c r="M50" i="1"/>
  <c r="L50" i="1"/>
  <c r="K5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7" i="1"/>
  <c r="G46" i="1"/>
  <c r="G45" i="1"/>
  <c r="G44" i="1"/>
  <c r="G49" i="1"/>
  <c r="G4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N50" i="1" l="1"/>
</calcChain>
</file>

<file path=xl/sharedStrings.xml><?xml version="1.0" encoding="utf-8"?>
<sst xmlns="http://schemas.openxmlformats.org/spreadsheetml/2006/main" count="173" uniqueCount="80">
  <si>
    <t>Title</t>
  </si>
  <si>
    <t>Due</t>
  </si>
  <si>
    <t>Members</t>
  </si>
  <si>
    <t>Labels</t>
  </si>
  <si>
    <t>Rania El Mir</t>
  </si>
  <si>
    <t>DESIGN</t>
  </si>
  <si>
    <t>Salomé Casca</t>
  </si>
  <si>
    <t>Contenu / UX Writing</t>
  </si>
  <si>
    <t>Karim Fahim</t>
  </si>
  <si>
    <t>DEV (FRONT-END)</t>
  </si>
  <si>
    <t>DEV (BACK-END)</t>
  </si>
  <si>
    <t>Heures</t>
  </si>
  <si>
    <t xml:space="preserve">1.1Analyse UX des écrans existants de Yuka </t>
  </si>
  <si>
    <t xml:space="preserve">1.2 UX Writing – Audit des textes existants </t>
  </si>
  <si>
    <t xml:space="preserve">1.3 Audit de la structure de l’interface actuelle </t>
  </si>
  <si>
    <t xml:space="preserve">1.4 Analyse des appels API et des flux de données </t>
  </si>
  <si>
    <t xml:space="preserve">2.1 Wireframes &amp; parcours utilisateurs Yuka v2 </t>
  </si>
  <si>
    <t xml:space="preserve">2.2 Structure contenu &amp; CTA principaux </t>
  </si>
  <si>
    <t xml:space="preserve">2.3 Structure des pages et composants réutilisables </t>
  </si>
  <si>
    <t xml:space="preserve">2.4 Modèle de données &amp; endpoints API </t>
  </si>
  <si>
    <t xml:space="preserve">3.1 Maquettes haute fidélité &amp; prototype Figma </t>
  </si>
  <si>
    <t xml:space="preserve">3.2 UX Writing – Micro-textes du prototype </t>
  </si>
  <si>
    <t xml:space="preserve">3.3 Préparation de l’intégration des maquettes &amp; navigation </t>
  </si>
  <si>
    <t xml:space="preserve">3.4 Mock API &amp; préparation des futurs appels réels </t>
  </si>
  <si>
    <t xml:space="preserve">4.1 UI Scanner + fiche produit &amp; score </t>
  </si>
  <si>
    <t xml:space="preserve">4.2 UX Writing – Textes Scan &amp; explication du score </t>
  </si>
  <si>
    <t xml:space="preserve">4.3 Intégration module scan + affichage résultats </t>
  </si>
  <si>
    <t xml:space="preserve">4.4 API scan + récupération produit + calcul score </t>
  </si>
  <si>
    <t xml:space="preserve">5.1 Écrans Historique + Favoris </t>
  </si>
  <si>
    <t xml:space="preserve">5.2 UX Writing – Historique &amp; Favoris </t>
  </si>
  <si>
    <t xml:space="preserve">5.3 Intégration Historique + Favoris </t>
  </si>
  <si>
    <t xml:space="preserve">5.4 Endpoints Historique &amp; Favoris </t>
  </si>
  <si>
    <t xml:space="preserve">6.1 Écrans Profil &amp; Préférences alimentaires </t>
  </si>
  <si>
    <t xml:space="preserve">6.2 UX Writing – Profil &amp; Préférences </t>
  </si>
  <si>
    <t xml:space="preserve">6.3 Intégration Profil &amp; Préférences </t>
  </si>
  <si>
    <t xml:space="preserve">6.4 Modèle Profil utilisateur + endpoints </t>
  </si>
  <si>
    <t xml:space="preserve">7.1  Écran Recommandations + cartes produits </t>
  </si>
  <si>
    <t xml:space="preserve">7.2 UX Writing – Recommandations personnalisées </t>
  </si>
  <si>
    <t xml:space="preserve">12.4 Mise en production API + documentation technique </t>
  </si>
  <si>
    <t xml:space="preserve">12.3  Build release + préparation livraison app </t>
  </si>
  <si>
    <t xml:space="preserve">12.2 UX Writing – Pack final &amp; glossaire </t>
  </si>
  <si>
    <t xml:space="preserve">12.1  Kit de livraison UI + documentation design </t>
  </si>
  <si>
    <t xml:space="preserve">11.4 Tests API + correctifs &amp; sécurisation </t>
  </si>
  <si>
    <t xml:space="preserve">11.3 Tests fonctionnels app + correctifs UI </t>
  </si>
  <si>
    <t xml:space="preserve">11.2 UX Writing – Relecture globale V1 </t>
  </si>
  <si>
    <t xml:space="preserve">11.1 Revue UX finale + correctifs maquettes </t>
  </si>
  <si>
    <t xml:space="preserve">10.4 Endpoints statistiques + agrégations </t>
  </si>
  <si>
    <t xml:space="preserve">10.3 Intégration Dashboard + filtres temporels </t>
  </si>
  <si>
    <t>10.2 UX Writing – Statistiques &amp; dashboard</t>
  </si>
  <si>
    <t xml:space="preserve">10.1 Dashboard statistiques personnelles </t>
  </si>
  <si>
    <t xml:space="preserve">9.4 Service notifications + endpoints </t>
  </si>
  <si>
    <t xml:space="preserve">9.3 Intégration Notifications + affichage in-app </t>
  </si>
  <si>
    <t xml:space="preserve">9.2 UX Writing – Notifications &amp; centre de messages </t>
  </si>
  <si>
    <t xml:space="preserve">9.1 Écrans Notifications + centre de messages </t>
  </si>
  <si>
    <t xml:space="preserve">8.4 Endpoints Classements + logique trifiltrage </t>
  </si>
  <si>
    <t xml:space="preserve">8.3 Intégration Classements + filtres interactifs </t>
  </si>
  <si>
    <t xml:space="preserve">8.2 UX Writing – Classements &amp; Filtres </t>
  </si>
  <si>
    <t xml:space="preserve">8.1 Écran Classements + filtres visuels </t>
  </si>
  <si>
    <t xml:space="preserve">7.4 Logique recommandations + endpoint </t>
  </si>
  <si>
    <t xml:space="preserve">7.3 Intégration écran Recommandations </t>
  </si>
  <si>
    <t>Salaire net/h</t>
  </si>
  <si>
    <t>Salaire brut/h</t>
  </si>
  <si>
    <t>Coût Empl/h</t>
  </si>
  <si>
    <t>Matériel</t>
  </si>
  <si>
    <t xml:space="preserve">Charge structurel </t>
  </si>
  <si>
    <t>Coût de revient</t>
  </si>
  <si>
    <t>Marge</t>
  </si>
  <si>
    <t>Prix client</t>
  </si>
  <si>
    <t xml:space="preserve">Coût tâche masse salarial </t>
  </si>
  <si>
    <t xml:space="preserve">SOMME : </t>
  </si>
  <si>
    <t xml:space="preserve">Trésorerie </t>
  </si>
  <si>
    <t>Sprint 1</t>
  </si>
  <si>
    <t>Sprint 2</t>
  </si>
  <si>
    <t>Sprint 3</t>
  </si>
  <si>
    <t xml:space="preserve">Sprint 4 </t>
  </si>
  <si>
    <t>Sprint 5</t>
  </si>
  <si>
    <t>Sprint 6</t>
  </si>
  <si>
    <t>Dépenses</t>
  </si>
  <si>
    <t xml:space="preserve">Recettes </t>
  </si>
  <si>
    <t>Solde trésorerie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</si>
</sst>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0" fillId="3" borderId="1" xfId="0" applyFill="1" applyBorder="1" applyAlignment="1">
      <alignment wrapText="1"/>
    </xf>
    <xf numFmtId="22" fontId="0" fillId="3" borderId="1" xfId="0" applyNumberFormat="1" applyFill="1" applyBorder="1" applyAlignment="1">
      <alignment wrapText="1"/>
    </xf>
    <xf numFmtId="0" fontId="0" fillId="3" borderId="1" xfId="0" applyFill="1" applyBorder="1"/>
    <xf numFmtId="0" fontId="0" fillId="3" borderId="0" xfId="0" applyFill="1"/>
    <xf numFmtId="0" fontId="0" fillId="4" borderId="1" xfId="0" applyFill="1" applyBorder="1" applyAlignment="1">
      <alignment wrapText="1"/>
    </xf>
    <xf numFmtId="22" fontId="0" fillId="4" borderId="1" xfId="0" applyNumberFormat="1" applyFill="1" applyBorder="1" applyAlignment="1">
      <alignment wrapText="1"/>
    </xf>
    <xf numFmtId="0" fontId="0" fillId="4" borderId="1" xfId="0" applyFill="1" applyBorder="1"/>
    <xf numFmtId="0" fontId="0" fillId="4" borderId="0" xfId="0" applyFill="1"/>
    <xf numFmtId="0" fontId="0" fillId="5" borderId="1" xfId="0" applyFill="1" applyBorder="1" applyAlignment="1">
      <alignment wrapText="1"/>
    </xf>
    <xf numFmtId="22" fontId="0" fillId="5" borderId="1" xfId="0" applyNumberFormat="1" applyFill="1" applyBorder="1" applyAlignment="1">
      <alignment wrapText="1"/>
    </xf>
    <xf numFmtId="0" fontId="0" fillId="5" borderId="1" xfId="0" applyFill="1" applyBorder="1"/>
    <xf numFmtId="0" fontId="0" fillId="5" borderId="0" xfId="0" applyFill="1"/>
    <xf numFmtId="0" fontId="0" fillId="6" borderId="1" xfId="0" applyFill="1" applyBorder="1" applyAlignment="1">
      <alignment wrapText="1"/>
    </xf>
    <xf numFmtId="22" fontId="0" fillId="6" borderId="1" xfId="0" applyNumberFormat="1" applyFill="1" applyBorder="1" applyAlignment="1">
      <alignment wrapText="1"/>
    </xf>
    <xf numFmtId="0" fontId="0" fillId="6" borderId="1" xfId="0" applyFill="1" applyBorder="1"/>
    <xf numFmtId="0" fontId="0" fillId="6" borderId="0" xfId="0" applyFill="1"/>
    <xf numFmtId="0" fontId="0" fillId="7" borderId="1" xfId="0" applyFill="1" applyBorder="1" applyAlignment="1">
      <alignment wrapText="1"/>
    </xf>
    <xf numFmtId="22" fontId="0" fillId="7" borderId="1" xfId="0" applyNumberFormat="1" applyFill="1" applyBorder="1" applyAlignment="1">
      <alignment wrapText="1"/>
    </xf>
    <xf numFmtId="0" fontId="0" fillId="7" borderId="1" xfId="0" applyFill="1" applyBorder="1"/>
    <xf numFmtId="0" fontId="0" fillId="7" borderId="0" xfId="0" applyFill="1"/>
    <xf numFmtId="22" fontId="0" fillId="2" borderId="1" xfId="0" applyNumberFormat="1" applyFill="1" applyBorder="1" applyAlignment="1">
      <alignment wrapText="1"/>
    </xf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0" fontId="0" fillId="8" borderId="1" xfId="0" applyFill="1" applyBorder="1"/>
    <xf numFmtId="0" fontId="3" fillId="0" borderId="1" xfId="0" applyFont="1" applyBorder="1"/>
    <xf numFmtId="0" fontId="2" fillId="0" borderId="1" xfId="0" applyFont="1" applyBorder="1"/>
    <xf numFmtId="22" fontId="0" fillId="7" borderId="1" xfId="0" applyNumberFormat="1" applyFill="1" applyBorder="1" applyAlignment="1">
      <alignment horizontal="right" wrapText="1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topLeftCell="B39" zoomScale="85" zoomScaleNormal="85" workbookViewId="0">
      <selection activeCell="K52" sqref="K52"/>
    </sheetView>
  </sheetViews>
  <sheetFormatPr baseColWidth="10" defaultRowHeight="15.6" x14ac:dyDescent="0.3"/>
  <cols>
    <col min="1" max="1" width="57" customWidth="1"/>
    <col min="2" max="3" width="25.296875" customWidth="1"/>
    <col min="4" max="4" width="25.8984375" customWidth="1"/>
    <col min="6" max="6" width="19.19921875" customWidth="1"/>
    <col min="7" max="7" width="22.09765625" customWidth="1"/>
    <col min="9" max="9" width="20.296875" customWidth="1"/>
    <col min="11" max="11" width="16.796875" customWidth="1"/>
    <col min="12" max="12" width="17.09765625" customWidth="1"/>
  </cols>
  <sheetData>
    <row r="1" spans="1:14" ht="31.2" x14ac:dyDescent="0.3">
      <c r="A1" s="1" t="s">
        <v>0</v>
      </c>
      <c r="B1" s="1" t="s">
        <v>1</v>
      </c>
      <c r="C1" s="1" t="s">
        <v>11</v>
      </c>
      <c r="D1" s="1" t="s">
        <v>11</v>
      </c>
      <c r="E1" s="1" t="s">
        <v>3</v>
      </c>
      <c r="F1" s="2" t="s">
        <v>60</v>
      </c>
      <c r="G1" s="2" t="s">
        <v>61</v>
      </c>
      <c r="H1" s="2" t="s">
        <v>62</v>
      </c>
      <c r="I1" s="1" t="s">
        <v>68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</row>
    <row r="2" spans="1:14" s="5" customFormat="1" x14ac:dyDescent="0.3">
      <c r="A2" s="3" t="s">
        <v>12</v>
      </c>
      <c r="B2" s="26">
        <v>46027.625</v>
      </c>
      <c r="C2" s="3">
        <v>6</v>
      </c>
      <c r="D2" s="3" t="s">
        <v>4</v>
      </c>
      <c r="E2" s="3" t="s">
        <v>5</v>
      </c>
      <c r="F2" s="4">
        <v>20</v>
      </c>
      <c r="G2" s="4">
        <f t="shared" ref="G2:G17" si="0">F2*1.2</f>
        <v>24</v>
      </c>
      <c r="H2" s="4">
        <f>G2*1.6</f>
        <v>38.400000000000006</v>
      </c>
      <c r="I2" s="4">
        <f>H2*C2</f>
        <v>230.40000000000003</v>
      </c>
      <c r="J2" s="4">
        <f>I2*0.2</f>
        <v>46.080000000000013</v>
      </c>
      <c r="K2" s="4">
        <f>I2*0.3</f>
        <v>69.12</v>
      </c>
      <c r="L2" s="4">
        <f>SUM(K2,J2,I2)</f>
        <v>345.6</v>
      </c>
      <c r="M2" s="4">
        <f>L2*0.5</f>
        <v>172.8</v>
      </c>
      <c r="N2" s="4">
        <f>SUM(L2,M2)</f>
        <v>518.40000000000009</v>
      </c>
    </row>
    <row r="3" spans="1:14" s="5" customFormat="1" ht="31.2" x14ac:dyDescent="0.3">
      <c r="A3" s="3" t="s">
        <v>13</v>
      </c>
      <c r="B3" s="26">
        <v>46027.541666666664</v>
      </c>
      <c r="C3" s="3">
        <v>4</v>
      </c>
      <c r="D3" s="3" t="s">
        <v>6</v>
      </c>
      <c r="E3" s="3" t="s">
        <v>7</v>
      </c>
      <c r="F3" s="4">
        <v>15</v>
      </c>
      <c r="G3" s="4">
        <f t="shared" si="0"/>
        <v>18</v>
      </c>
      <c r="H3" s="4">
        <f t="shared" ref="H3:H49" si="1">G3*1.6</f>
        <v>28.8</v>
      </c>
      <c r="I3" s="4">
        <f t="shared" ref="I3:I49" si="2">H3*C3</f>
        <v>115.2</v>
      </c>
      <c r="J3" s="4">
        <f t="shared" ref="J3:J49" si="3">I3*0.2</f>
        <v>23.040000000000003</v>
      </c>
      <c r="K3" s="4">
        <f t="shared" ref="K3:K49" si="4">I3*0.3</f>
        <v>34.56</v>
      </c>
      <c r="L3" s="4">
        <f t="shared" ref="L3:L49" si="5">SUM(K3,J3,I3)</f>
        <v>172.8</v>
      </c>
      <c r="M3" s="4">
        <f t="shared" ref="M3:M49" si="6">L3*0.5</f>
        <v>86.4</v>
      </c>
      <c r="N3" s="4">
        <f t="shared" ref="N3:N50" si="7">SUM(L3,M3)</f>
        <v>259.20000000000005</v>
      </c>
    </row>
    <row r="4" spans="1:14" s="5" customFormat="1" ht="31.2" x14ac:dyDescent="0.3">
      <c r="A4" s="3" t="s">
        <v>14</v>
      </c>
      <c r="B4" s="26">
        <v>46028.708333333336</v>
      </c>
      <c r="C4" s="3">
        <v>8</v>
      </c>
      <c r="D4" s="3" t="s">
        <v>8</v>
      </c>
      <c r="E4" s="3" t="s">
        <v>9</v>
      </c>
      <c r="F4" s="4">
        <v>30</v>
      </c>
      <c r="G4" s="4">
        <f t="shared" si="0"/>
        <v>36</v>
      </c>
      <c r="H4" s="4">
        <f t="shared" si="1"/>
        <v>57.6</v>
      </c>
      <c r="I4" s="4">
        <f t="shared" si="2"/>
        <v>460.8</v>
      </c>
      <c r="J4" s="4">
        <f t="shared" si="3"/>
        <v>92.160000000000011</v>
      </c>
      <c r="K4" s="4">
        <f t="shared" si="4"/>
        <v>138.24</v>
      </c>
      <c r="L4" s="4">
        <f t="shared" si="5"/>
        <v>691.2</v>
      </c>
      <c r="M4" s="4">
        <f t="shared" si="6"/>
        <v>345.6</v>
      </c>
      <c r="N4" s="4">
        <f t="shared" si="7"/>
        <v>1036.8000000000002</v>
      </c>
    </row>
    <row r="5" spans="1:14" s="5" customFormat="1" ht="31.2" x14ac:dyDescent="0.3">
      <c r="A5" s="3" t="s">
        <v>15</v>
      </c>
      <c r="B5" s="26">
        <v>46029.458333333336</v>
      </c>
      <c r="C5" s="3">
        <v>10</v>
      </c>
      <c r="D5" s="3" t="s">
        <v>8</v>
      </c>
      <c r="E5" s="3" t="s">
        <v>10</v>
      </c>
      <c r="F5" s="4">
        <v>30</v>
      </c>
      <c r="G5" s="4">
        <f t="shared" si="0"/>
        <v>36</v>
      </c>
      <c r="H5" s="4">
        <f t="shared" si="1"/>
        <v>57.6</v>
      </c>
      <c r="I5" s="4">
        <f t="shared" si="2"/>
        <v>576</v>
      </c>
      <c r="J5" s="4">
        <f t="shared" si="3"/>
        <v>115.2</v>
      </c>
      <c r="K5" s="4">
        <f t="shared" si="4"/>
        <v>172.79999999999998</v>
      </c>
      <c r="L5" s="4">
        <f t="shared" si="5"/>
        <v>864</v>
      </c>
      <c r="M5" s="4">
        <f t="shared" si="6"/>
        <v>432</v>
      </c>
      <c r="N5" s="4">
        <f t="shared" si="7"/>
        <v>1296</v>
      </c>
    </row>
    <row r="6" spans="1:14" s="5" customFormat="1" x14ac:dyDescent="0.3">
      <c r="A6" s="3" t="s">
        <v>16</v>
      </c>
      <c r="B6" s="26">
        <v>46030.416666666664</v>
      </c>
      <c r="C6" s="3">
        <v>10</v>
      </c>
      <c r="D6" s="3" t="s">
        <v>4</v>
      </c>
      <c r="E6" s="3" t="s">
        <v>5</v>
      </c>
      <c r="F6" s="4">
        <v>20</v>
      </c>
      <c r="G6" s="4">
        <f t="shared" si="0"/>
        <v>24</v>
      </c>
      <c r="H6" s="4">
        <f t="shared" si="1"/>
        <v>38.400000000000006</v>
      </c>
      <c r="I6" s="4">
        <f t="shared" si="2"/>
        <v>384.00000000000006</v>
      </c>
      <c r="J6" s="4">
        <f t="shared" si="3"/>
        <v>76.800000000000011</v>
      </c>
      <c r="K6" s="4">
        <f t="shared" si="4"/>
        <v>115.20000000000002</v>
      </c>
      <c r="L6" s="4">
        <f t="shared" si="5"/>
        <v>576.00000000000011</v>
      </c>
      <c r="M6" s="4">
        <f t="shared" si="6"/>
        <v>288.00000000000006</v>
      </c>
      <c r="N6" s="4">
        <f t="shared" si="7"/>
        <v>864.00000000000023</v>
      </c>
    </row>
    <row r="7" spans="1:14" s="5" customFormat="1" ht="31.2" x14ac:dyDescent="0.3">
      <c r="A7" s="3" t="s">
        <v>17</v>
      </c>
      <c r="B7" s="26">
        <v>46031.583333333336</v>
      </c>
      <c r="C7" s="3">
        <v>5</v>
      </c>
      <c r="D7" s="3" t="s">
        <v>6</v>
      </c>
      <c r="E7" s="3" t="s">
        <v>7</v>
      </c>
      <c r="F7" s="4">
        <v>15</v>
      </c>
      <c r="G7" s="4">
        <f t="shared" si="0"/>
        <v>18</v>
      </c>
      <c r="H7" s="4">
        <f t="shared" si="1"/>
        <v>28.8</v>
      </c>
      <c r="I7" s="4">
        <f t="shared" si="2"/>
        <v>144</v>
      </c>
      <c r="J7" s="4">
        <f t="shared" si="3"/>
        <v>28.8</v>
      </c>
      <c r="K7" s="4">
        <f t="shared" si="4"/>
        <v>43.199999999999996</v>
      </c>
      <c r="L7" s="4">
        <f t="shared" si="5"/>
        <v>216</v>
      </c>
      <c r="M7" s="4">
        <f t="shared" si="6"/>
        <v>108</v>
      </c>
      <c r="N7" s="4">
        <f t="shared" si="7"/>
        <v>324</v>
      </c>
    </row>
    <row r="8" spans="1:14" s="5" customFormat="1" ht="31.2" x14ac:dyDescent="0.3">
      <c r="A8" s="3" t="s">
        <v>18</v>
      </c>
      <c r="B8" s="26">
        <v>46034.541666666664</v>
      </c>
      <c r="C8" s="3">
        <v>12</v>
      </c>
      <c r="D8" s="3" t="s">
        <v>8</v>
      </c>
      <c r="E8" s="3" t="s">
        <v>9</v>
      </c>
      <c r="F8" s="4">
        <v>30</v>
      </c>
      <c r="G8" s="4">
        <f t="shared" si="0"/>
        <v>36</v>
      </c>
      <c r="H8" s="4">
        <f t="shared" si="1"/>
        <v>57.6</v>
      </c>
      <c r="I8" s="4">
        <f t="shared" si="2"/>
        <v>691.2</v>
      </c>
      <c r="J8" s="4">
        <f t="shared" si="3"/>
        <v>138.24</v>
      </c>
      <c r="K8" s="4">
        <f t="shared" si="4"/>
        <v>207.36</v>
      </c>
      <c r="L8" s="4">
        <f t="shared" si="5"/>
        <v>1036.8000000000002</v>
      </c>
      <c r="M8" s="4">
        <f t="shared" si="6"/>
        <v>518.40000000000009</v>
      </c>
      <c r="N8" s="4">
        <f t="shared" si="7"/>
        <v>1555.2000000000003</v>
      </c>
    </row>
    <row r="9" spans="1:14" s="5" customFormat="1" ht="31.2" x14ac:dyDescent="0.3">
      <c r="A9" s="3" t="s">
        <v>19</v>
      </c>
      <c r="B9" s="26">
        <v>46034.625</v>
      </c>
      <c r="C9" s="3">
        <v>14</v>
      </c>
      <c r="D9" s="3" t="s">
        <v>8</v>
      </c>
      <c r="E9" s="3" t="s">
        <v>10</v>
      </c>
      <c r="F9" s="4">
        <v>30</v>
      </c>
      <c r="G9" s="4">
        <f t="shared" si="0"/>
        <v>36</v>
      </c>
      <c r="H9" s="4">
        <f t="shared" si="1"/>
        <v>57.6</v>
      </c>
      <c r="I9" s="4">
        <f t="shared" si="2"/>
        <v>806.4</v>
      </c>
      <c r="J9" s="4">
        <f t="shared" si="3"/>
        <v>161.28</v>
      </c>
      <c r="K9" s="4">
        <f t="shared" si="4"/>
        <v>241.92</v>
      </c>
      <c r="L9" s="4">
        <f t="shared" si="5"/>
        <v>1209.5999999999999</v>
      </c>
      <c r="M9" s="4">
        <f t="shared" si="6"/>
        <v>604.79999999999995</v>
      </c>
      <c r="N9" s="4">
        <f t="shared" si="7"/>
        <v>1814.3999999999999</v>
      </c>
    </row>
    <row r="10" spans="1:14" s="9" customFormat="1" x14ac:dyDescent="0.3">
      <c r="A10" s="6" t="s">
        <v>20</v>
      </c>
      <c r="B10" s="7">
        <v>46035.625</v>
      </c>
      <c r="C10" s="6">
        <v>14</v>
      </c>
      <c r="D10" s="6" t="s">
        <v>4</v>
      </c>
      <c r="E10" s="6" t="s">
        <v>5</v>
      </c>
      <c r="F10" s="8">
        <v>20</v>
      </c>
      <c r="G10" s="8">
        <f t="shared" si="0"/>
        <v>24</v>
      </c>
      <c r="H10" s="8">
        <f t="shared" si="1"/>
        <v>38.400000000000006</v>
      </c>
      <c r="I10" s="8">
        <f t="shared" si="2"/>
        <v>537.60000000000014</v>
      </c>
      <c r="J10" s="8">
        <f t="shared" si="3"/>
        <v>107.52000000000004</v>
      </c>
      <c r="K10" s="8">
        <f t="shared" si="4"/>
        <v>161.28000000000003</v>
      </c>
      <c r="L10" s="8">
        <f t="shared" si="5"/>
        <v>806.4000000000002</v>
      </c>
      <c r="M10" s="8">
        <f t="shared" si="6"/>
        <v>403.2000000000001</v>
      </c>
      <c r="N10" s="8">
        <f t="shared" si="7"/>
        <v>1209.6000000000004</v>
      </c>
    </row>
    <row r="11" spans="1:14" s="9" customFormat="1" ht="31.2" x14ac:dyDescent="0.3">
      <c r="A11" s="6" t="s">
        <v>21</v>
      </c>
      <c r="B11" s="7">
        <v>46036.625</v>
      </c>
      <c r="C11" s="6">
        <v>6</v>
      </c>
      <c r="D11" s="6" t="s">
        <v>6</v>
      </c>
      <c r="E11" s="6" t="s">
        <v>7</v>
      </c>
      <c r="F11" s="8">
        <v>15</v>
      </c>
      <c r="G11" s="8">
        <f t="shared" si="0"/>
        <v>18</v>
      </c>
      <c r="H11" s="8">
        <f t="shared" si="1"/>
        <v>28.8</v>
      </c>
      <c r="I11" s="8">
        <f t="shared" si="2"/>
        <v>172.8</v>
      </c>
      <c r="J11" s="8">
        <f t="shared" si="3"/>
        <v>34.56</v>
      </c>
      <c r="K11" s="8">
        <f t="shared" si="4"/>
        <v>51.84</v>
      </c>
      <c r="L11" s="8">
        <f t="shared" si="5"/>
        <v>259.20000000000005</v>
      </c>
      <c r="M11" s="8">
        <f t="shared" si="6"/>
        <v>129.60000000000002</v>
      </c>
      <c r="N11" s="8">
        <f t="shared" si="7"/>
        <v>388.80000000000007</v>
      </c>
    </row>
    <row r="12" spans="1:14" s="9" customFormat="1" ht="31.2" x14ac:dyDescent="0.3">
      <c r="A12" s="6" t="s">
        <v>22</v>
      </c>
      <c r="B12" s="7">
        <v>46037.541666666664</v>
      </c>
      <c r="C12" s="6">
        <v>12</v>
      </c>
      <c r="D12" s="6" t="s">
        <v>8</v>
      </c>
      <c r="E12" s="6" t="s">
        <v>9</v>
      </c>
      <c r="F12" s="8">
        <v>30</v>
      </c>
      <c r="G12" s="8">
        <f t="shared" si="0"/>
        <v>36</v>
      </c>
      <c r="H12" s="8">
        <f t="shared" si="1"/>
        <v>57.6</v>
      </c>
      <c r="I12" s="8">
        <f t="shared" si="2"/>
        <v>691.2</v>
      </c>
      <c r="J12" s="8">
        <f t="shared" si="3"/>
        <v>138.24</v>
      </c>
      <c r="K12" s="8">
        <f t="shared" si="4"/>
        <v>207.36</v>
      </c>
      <c r="L12" s="8">
        <f t="shared" si="5"/>
        <v>1036.8000000000002</v>
      </c>
      <c r="M12" s="8">
        <f t="shared" si="6"/>
        <v>518.40000000000009</v>
      </c>
      <c r="N12" s="8">
        <f t="shared" si="7"/>
        <v>1555.2000000000003</v>
      </c>
    </row>
    <row r="13" spans="1:14" s="9" customFormat="1" ht="31.2" x14ac:dyDescent="0.3">
      <c r="A13" s="6" t="s">
        <v>23</v>
      </c>
      <c r="B13" s="7">
        <v>46037.458333333336</v>
      </c>
      <c r="C13" s="6">
        <v>10</v>
      </c>
      <c r="D13" s="6" t="s">
        <v>8</v>
      </c>
      <c r="E13" s="6" t="s">
        <v>10</v>
      </c>
      <c r="F13" s="8">
        <v>30</v>
      </c>
      <c r="G13" s="8">
        <f t="shared" si="0"/>
        <v>36</v>
      </c>
      <c r="H13" s="8">
        <f t="shared" si="1"/>
        <v>57.6</v>
      </c>
      <c r="I13" s="8">
        <f t="shared" si="2"/>
        <v>576</v>
      </c>
      <c r="J13" s="8">
        <f t="shared" si="3"/>
        <v>115.2</v>
      </c>
      <c r="K13" s="8">
        <f t="shared" si="4"/>
        <v>172.79999999999998</v>
      </c>
      <c r="L13" s="8">
        <f t="shared" si="5"/>
        <v>864</v>
      </c>
      <c r="M13" s="8">
        <f t="shared" si="6"/>
        <v>432</v>
      </c>
      <c r="N13" s="8">
        <f t="shared" si="7"/>
        <v>1296</v>
      </c>
    </row>
    <row r="14" spans="1:14" s="9" customFormat="1" x14ac:dyDescent="0.3">
      <c r="A14" s="6" t="s">
        <v>24</v>
      </c>
      <c r="B14" s="7">
        <v>46038.458333333336</v>
      </c>
      <c r="C14" s="6">
        <v>10</v>
      </c>
      <c r="D14" s="6" t="s">
        <v>4</v>
      </c>
      <c r="E14" s="6" t="s">
        <v>5</v>
      </c>
      <c r="F14" s="8">
        <v>20</v>
      </c>
      <c r="G14" s="8">
        <f t="shared" si="0"/>
        <v>24</v>
      </c>
      <c r="H14" s="8">
        <f t="shared" si="1"/>
        <v>38.400000000000006</v>
      </c>
      <c r="I14" s="8">
        <f t="shared" si="2"/>
        <v>384.00000000000006</v>
      </c>
      <c r="J14" s="8">
        <f t="shared" si="3"/>
        <v>76.800000000000011</v>
      </c>
      <c r="K14" s="8">
        <f t="shared" si="4"/>
        <v>115.20000000000002</v>
      </c>
      <c r="L14" s="8">
        <f t="shared" si="5"/>
        <v>576.00000000000011</v>
      </c>
      <c r="M14" s="8">
        <f t="shared" si="6"/>
        <v>288.00000000000006</v>
      </c>
      <c r="N14" s="8">
        <f t="shared" si="7"/>
        <v>864.00000000000023</v>
      </c>
    </row>
    <row r="15" spans="1:14" s="9" customFormat="1" ht="31.2" x14ac:dyDescent="0.3">
      <c r="A15" s="6" t="s">
        <v>25</v>
      </c>
      <c r="B15" s="7">
        <v>46041.541666666664</v>
      </c>
      <c r="C15" s="6">
        <v>4</v>
      </c>
      <c r="D15" s="6" t="s">
        <v>6</v>
      </c>
      <c r="E15" s="6" t="s">
        <v>7</v>
      </c>
      <c r="F15" s="8">
        <v>15</v>
      </c>
      <c r="G15" s="8">
        <f t="shared" si="0"/>
        <v>18</v>
      </c>
      <c r="H15" s="8">
        <f t="shared" si="1"/>
        <v>28.8</v>
      </c>
      <c r="I15" s="8">
        <f t="shared" si="2"/>
        <v>115.2</v>
      </c>
      <c r="J15" s="8">
        <f t="shared" si="3"/>
        <v>23.040000000000003</v>
      </c>
      <c r="K15" s="8">
        <f t="shared" si="4"/>
        <v>34.56</v>
      </c>
      <c r="L15" s="8">
        <f t="shared" si="5"/>
        <v>172.8</v>
      </c>
      <c r="M15" s="8">
        <f t="shared" si="6"/>
        <v>86.4</v>
      </c>
      <c r="N15" s="8">
        <f t="shared" si="7"/>
        <v>259.20000000000005</v>
      </c>
    </row>
    <row r="16" spans="1:14" s="13" customFormat="1" ht="31.2" x14ac:dyDescent="0.3">
      <c r="A16" s="10" t="s">
        <v>26</v>
      </c>
      <c r="B16" s="11">
        <v>46042.458333333336</v>
      </c>
      <c r="C16" s="10">
        <v>18</v>
      </c>
      <c r="D16" s="10" t="s">
        <v>8</v>
      </c>
      <c r="E16" s="10" t="s">
        <v>9</v>
      </c>
      <c r="F16" s="12">
        <v>30</v>
      </c>
      <c r="G16" s="12">
        <f t="shared" si="0"/>
        <v>36</v>
      </c>
      <c r="H16" s="12">
        <f t="shared" si="1"/>
        <v>57.6</v>
      </c>
      <c r="I16" s="12">
        <f t="shared" si="2"/>
        <v>1036.8</v>
      </c>
      <c r="J16" s="12">
        <f t="shared" si="3"/>
        <v>207.36</v>
      </c>
      <c r="K16" s="12">
        <f t="shared" si="4"/>
        <v>311.03999999999996</v>
      </c>
      <c r="L16" s="12">
        <f t="shared" si="5"/>
        <v>1555.1999999999998</v>
      </c>
      <c r="M16" s="12">
        <f t="shared" si="6"/>
        <v>777.59999999999991</v>
      </c>
      <c r="N16" s="12">
        <f t="shared" si="7"/>
        <v>2332.7999999999997</v>
      </c>
    </row>
    <row r="17" spans="1:14" s="13" customFormat="1" ht="31.2" x14ac:dyDescent="0.3">
      <c r="A17" s="10" t="s">
        <v>27</v>
      </c>
      <c r="B17" s="11">
        <v>46042.541666666664</v>
      </c>
      <c r="C17" s="10">
        <v>20</v>
      </c>
      <c r="D17" s="10" t="s">
        <v>8</v>
      </c>
      <c r="E17" s="10" t="s">
        <v>10</v>
      </c>
      <c r="F17" s="12">
        <v>30</v>
      </c>
      <c r="G17" s="12">
        <f t="shared" si="0"/>
        <v>36</v>
      </c>
      <c r="H17" s="12">
        <f t="shared" si="1"/>
        <v>57.6</v>
      </c>
      <c r="I17" s="12">
        <f t="shared" si="2"/>
        <v>1152</v>
      </c>
      <c r="J17" s="12">
        <f t="shared" si="3"/>
        <v>230.4</v>
      </c>
      <c r="K17" s="12">
        <f t="shared" si="4"/>
        <v>345.59999999999997</v>
      </c>
      <c r="L17" s="12">
        <f t="shared" si="5"/>
        <v>1728</v>
      </c>
      <c r="M17" s="12">
        <f t="shared" si="6"/>
        <v>864</v>
      </c>
      <c r="N17" s="12">
        <f t="shared" si="7"/>
        <v>2592</v>
      </c>
    </row>
    <row r="18" spans="1:14" s="13" customFormat="1" x14ac:dyDescent="0.3">
      <c r="A18" s="10" t="s">
        <v>28</v>
      </c>
      <c r="B18" s="11">
        <v>46043.708333333336</v>
      </c>
      <c r="C18" s="10">
        <v>8</v>
      </c>
      <c r="D18" s="10" t="s">
        <v>4</v>
      </c>
      <c r="E18" s="10" t="s">
        <v>5</v>
      </c>
      <c r="F18" s="12">
        <v>20</v>
      </c>
      <c r="G18" s="12">
        <f t="shared" ref="G18:G43" si="8">F18*1.2</f>
        <v>24</v>
      </c>
      <c r="H18" s="12">
        <f t="shared" si="1"/>
        <v>38.400000000000006</v>
      </c>
      <c r="I18" s="12">
        <f t="shared" si="2"/>
        <v>307.20000000000005</v>
      </c>
      <c r="J18" s="12">
        <f t="shared" si="3"/>
        <v>61.440000000000012</v>
      </c>
      <c r="K18" s="12">
        <f t="shared" si="4"/>
        <v>92.160000000000011</v>
      </c>
      <c r="L18" s="12">
        <f t="shared" si="5"/>
        <v>460.80000000000007</v>
      </c>
      <c r="M18" s="12">
        <f t="shared" si="6"/>
        <v>230.40000000000003</v>
      </c>
      <c r="N18" s="12">
        <f t="shared" si="7"/>
        <v>691.2</v>
      </c>
    </row>
    <row r="19" spans="1:14" s="13" customFormat="1" ht="31.2" x14ac:dyDescent="0.3">
      <c r="A19" s="10" t="s">
        <v>29</v>
      </c>
      <c r="B19" s="11">
        <v>46043.458333333336</v>
      </c>
      <c r="C19" s="10">
        <v>2</v>
      </c>
      <c r="D19" s="10" t="s">
        <v>6</v>
      </c>
      <c r="E19" s="10" t="s">
        <v>7</v>
      </c>
      <c r="F19" s="12">
        <v>15</v>
      </c>
      <c r="G19" s="12">
        <f t="shared" si="8"/>
        <v>18</v>
      </c>
      <c r="H19" s="12">
        <f t="shared" si="1"/>
        <v>28.8</v>
      </c>
      <c r="I19" s="12">
        <f t="shared" si="2"/>
        <v>57.6</v>
      </c>
      <c r="J19" s="12">
        <f t="shared" si="3"/>
        <v>11.520000000000001</v>
      </c>
      <c r="K19" s="12">
        <f t="shared" si="4"/>
        <v>17.28</v>
      </c>
      <c r="L19" s="12">
        <f t="shared" si="5"/>
        <v>86.4</v>
      </c>
      <c r="M19" s="12">
        <f t="shared" si="6"/>
        <v>43.2</v>
      </c>
      <c r="N19" s="12">
        <f t="shared" si="7"/>
        <v>129.60000000000002</v>
      </c>
    </row>
    <row r="20" spans="1:14" s="13" customFormat="1" ht="31.2" x14ac:dyDescent="0.3">
      <c r="A20" s="10" t="s">
        <v>30</v>
      </c>
      <c r="B20" s="11">
        <v>46044.625</v>
      </c>
      <c r="C20" s="10">
        <v>14</v>
      </c>
      <c r="D20" s="10" t="s">
        <v>8</v>
      </c>
      <c r="E20" s="10" t="s">
        <v>9</v>
      </c>
      <c r="F20" s="12">
        <v>30</v>
      </c>
      <c r="G20" s="12">
        <f t="shared" si="8"/>
        <v>36</v>
      </c>
      <c r="H20" s="12">
        <f t="shared" si="1"/>
        <v>57.6</v>
      </c>
      <c r="I20" s="12">
        <f t="shared" si="2"/>
        <v>806.4</v>
      </c>
      <c r="J20" s="12">
        <f t="shared" si="3"/>
        <v>161.28</v>
      </c>
      <c r="K20" s="12">
        <f t="shared" si="4"/>
        <v>241.92</v>
      </c>
      <c r="L20" s="12">
        <f t="shared" si="5"/>
        <v>1209.5999999999999</v>
      </c>
      <c r="M20" s="12">
        <f t="shared" si="6"/>
        <v>604.79999999999995</v>
      </c>
      <c r="N20" s="12">
        <f t="shared" si="7"/>
        <v>1814.3999999999999</v>
      </c>
    </row>
    <row r="21" spans="1:14" s="13" customFormat="1" ht="31.2" x14ac:dyDescent="0.3">
      <c r="A21" s="10" t="s">
        <v>31</v>
      </c>
      <c r="B21" s="11">
        <v>46044.708333333336</v>
      </c>
      <c r="C21" s="10">
        <v>16</v>
      </c>
      <c r="D21" s="10" t="s">
        <v>8</v>
      </c>
      <c r="E21" s="10" t="s">
        <v>10</v>
      </c>
      <c r="F21" s="12">
        <v>30</v>
      </c>
      <c r="G21" s="12">
        <f t="shared" si="8"/>
        <v>36</v>
      </c>
      <c r="H21" s="12">
        <f t="shared" si="1"/>
        <v>57.6</v>
      </c>
      <c r="I21" s="12">
        <f t="shared" si="2"/>
        <v>921.6</v>
      </c>
      <c r="J21" s="12">
        <f t="shared" si="3"/>
        <v>184.32000000000002</v>
      </c>
      <c r="K21" s="12">
        <f t="shared" si="4"/>
        <v>276.48</v>
      </c>
      <c r="L21" s="12">
        <f t="shared" si="5"/>
        <v>1382.4</v>
      </c>
      <c r="M21" s="12">
        <f t="shared" si="6"/>
        <v>691.2</v>
      </c>
      <c r="N21" s="12">
        <f t="shared" si="7"/>
        <v>2073.6000000000004</v>
      </c>
    </row>
    <row r="22" spans="1:14" s="13" customFormat="1" x14ac:dyDescent="0.3">
      <c r="A22" s="10" t="s">
        <v>32</v>
      </c>
      <c r="B22" s="11">
        <v>46045.708333333336</v>
      </c>
      <c r="C22" s="10">
        <v>8</v>
      </c>
      <c r="D22" s="10" t="s">
        <v>4</v>
      </c>
      <c r="E22" s="10" t="s">
        <v>5</v>
      </c>
      <c r="F22" s="12">
        <v>20</v>
      </c>
      <c r="G22" s="12">
        <f t="shared" si="8"/>
        <v>24</v>
      </c>
      <c r="H22" s="12">
        <f t="shared" si="1"/>
        <v>38.400000000000006</v>
      </c>
      <c r="I22" s="12">
        <f t="shared" si="2"/>
        <v>307.20000000000005</v>
      </c>
      <c r="J22" s="12">
        <f t="shared" si="3"/>
        <v>61.440000000000012</v>
      </c>
      <c r="K22" s="12">
        <f t="shared" si="4"/>
        <v>92.160000000000011</v>
      </c>
      <c r="L22" s="12">
        <f t="shared" si="5"/>
        <v>460.80000000000007</v>
      </c>
      <c r="M22" s="12">
        <f t="shared" si="6"/>
        <v>230.40000000000003</v>
      </c>
      <c r="N22" s="12">
        <f t="shared" si="7"/>
        <v>691.2</v>
      </c>
    </row>
    <row r="23" spans="1:14" s="13" customFormat="1" ht="31.2" x14ac:dyDescent="0.3">
      <c r="A23" s="10" t="s">
        <v>33</v>
      </c>
      <c r="B23" s="11">
        <v>46045.5</v>
      </c>
      <c r="C23" s="10">
        <v>3</v>
      </c>
      <c r="D23" s="10" t="s">
        <v>6</v>
      </c>
      <c r="E23" s="10" t="s">
        <v>7</v>
      </c>
      <c r="F23" s="12">
        <v>15</v>
      </c>
      <c r="G23" s="12">
        <f t="shared" si="8"/>
        <v>18</v>
      </c>
      <c r="H23" s="12">
        <f t="shared" si="1"/>
        <v>28.8</v>
      </c>
      <c r="I23" s="12">
        <f t="shared" si="2"/>
        <v>86.4</v>
      </c>
      <c r="J23" s="12">
        <f t="shared" si="3"/>
        <v>17.28</v>
      </c>
      <c r="K23" s="12">
        <f t="shared" si="4"/>
        <v>25.92</v>
      </c>
      <c r="L23" s="12">
        <f t="shared" si="5"/>
        <v>129.60000000000002</v>
      </c>
      <c r="M23" s="12">
        <f t="shared" si="6"/>
        <v>64.800000000000011</v>
      </c>
      <c r="N23" s="12">
        <f t="shared" si="7"/>
        <v>194.40000000000003</v>
      </c>
    </row>
    <row r="24" spans="1:14" s="13" customFormat="1" ht="31.2" x14ac:dyDescent="0.3">
      <c r="A24" s="10" t="s">
        <v>34</v>
      </c>
      <c r="B24" s="11">
        <v>46048.625</v>
      </c>
      <c r="C24" s="10">
        <v>14</v>
      </c>
      <c r="D24" s="10" t="s">
        <v>8</v>
      </c>
      <c r="E24" s="10" t="s">
        <v>9</v>
      </c>
      <c r="F24" s="12">
        <v>30</v>
      </c>
      <c r="G24" s="12">
        <f t="shared" si="8"/>
        <v>36</v>
      </c>
      <c r="H24" s="12">
        <f t="shared" si="1"/>
        <v>57.6</v>
      </c>
      <c r="I24" s="12">
        <f t="shared" si="2"/>
        <v>806.4</v>
      </c>
      <c r="J24" s="12">
        <f t="shared" si="3"/>
        <v>161.28</v>
      </c>
      <c r="K24" s="12">
        <f t="shared" si="4"/>
        <v>241.92</v>
      </c>
      <c r="L24" s="12">
        <f t="shared" si="5"/>
        <v>1209.5999999999999</v>
      </c>
      <c r="M24" s="12">
        <f t="shared" si="6"/>
        <v>604.79999999999995</v>
      </c>
      <c r="N24" s="12">
        <f t="shared" si="7"/>
        <v>1814.3999999999999</v>
      </c>
    </row>
    <row r="25" spans="1:14" s="13" customFormat="1" ht="31.2" x14ac:dyDescent="0.3">
      <c r="A25" s="10" t="s">
        <v>35</v>
      </c>
      <c r="B25" s="11">
        <v>46048.708333333336</v>
      </c>
      <c r="C25" s="10">
        <v>16</v>
      </c>
      <c r="D25" s="10" t="s">
        <v>8</v>
      </c>
      <c r="E25" s="10" t="s">
        <v>10</v>
      </c>
      <c r="F25" s="12">
        <v>30</v>
      </c>
      <c r="G25" s="12">
        <f t="shared" si="8"/>
        <v>36</v>
      </c>
      <c r="H25" s="12">
        <f t="shared" si="1"/>
        <v>57.6</v>
      </c>
      <c r="I25" s="12">
        <f t="shared" si="2"/>
        <v>921.6</v>
      </c>
      <c r="J25" s="12">
        <f t="shared" si="3"/>
        <v>184.32000000000002</v>
      </c>
      <c r="K25" s="12">
        <f t="shared" si="4"/>
        <v>276.48</v>
      </c>
      <c r="L25" s="12">
        <f t="shared" si="5"/>
        <v>1382.4</v>
      </c>
      <c r="M25" s="12">
        <f t="shared" si="6"/>
        <v>691.2</v>
      </c>
      <c r="N25" s="12">
        <f t="shared" si="7"/>
        <v>2073.6000000000004</v>
      </c>
    </row>
    <row r="26" spans="1:14" s="17" customFormat="1" x14ac:dyDescent="0.3">
      <c r="A26" s="14" t="s">
        <v>36</v>
      </c>
      <c r="B26" s="15">
        <v>46049.458333333336</v>
      </c>
      <c r="C26" s="14">
        <v>10</v>
      </c>
      <c r="D26" s="14" t="s">
        <v>4</v>
      </c>
      <c r="E26" s="14" t="s">
        <v>5</v>
      </c>
      <c r="F26" s="16">
        <v>20</v>
      </c>
      <c r="G26" s="16">
        <f t="shared" si="8"/>
        <v>24</v>
      </c>
      <c r="H26" s="16">
        <f t="shared" si="1"/>
        <v>38.400000000000006</v>
      </c>
      <c r="I26" s="16">
        <f t="shared" si="2"/>
        <v>384.00000000000006</v>
      </c>
      <c r="J26" s="16">
        <f t="shared" si="3"/>
        <v>76.800000000000011</v>
      </c>
      <c r="K26" s="16">
        <f t="shared" si="4"/>
        <v>115.20000000000002</v>
      </c>
      <c r="L26" s="16">
        <f t="shared" si="5"/>
        <v>576.00000000000011</v>
      </c>
      <c r="M26" s="16">
        <f t="shared" si="6"/>
        <v>288.00000000000006</v>
      </c>
      <c r="N26" s="16">
        <f t="shared" si="7"/>
        <v>864.00000000000023</v>
      </c>
    </row>
    <row r="27" spans="1:14" s="17" customFormat="1" ht="31.2" x14ac:dyDescent="0.3">
      <c r="A27" s="14" t="s">
        <v>37</v>
      </c>
      <c r="B27" s="15">
        <v>46049.5</v>
      </c>
      <c r="C27" s="14">
        <v>3</v>
      </c>
      <c r="D27" s="14" t="s">
        <v>6</v>
      </c>
      <c r="E27" s="14" t="s">
        <v>7</v>
      </c>
      <c r="F27" s="16">
        <v>15</v>
      </c>
      <c r="G27" s="16">
        <f t="shared" si="8"/>
        <v>18</v>
      </c>
      <c r="H27" s="16">
        <f t="shared" si="1"/>
        <v>28.8</v>
      </c>
      <c r="I27" s="16">
        <f t="shared" si="2"/>
        <v>86.4</v>
      </c>
      <c r="J27" s="16">
        <f t="shared" si="3"/>
        <v>17.28</v>
      </c>
      <c r="K27" s="16">
        <f t="shared" si="4"/>
        <v>25.92</v>
      </c>
      <c r="L27" s="16">
        <f t="shared" si="5"/>
        <v>129.60000000000002</v>
      </c>
      <c r="M27" s="16">
        <f t="shared" si="6"/>
        <v>64.800000000000011</v>
      </c>
      <c r="N27" s="16">
        <f t="shared" si="7"/>
        <v>194.40000000000003</v>
      </c>
    </row>
    <row r="28" spans="1:14" s="17" customFormat="1" ht="31.2" x14ac:dyDescent="0.3">
      <c r="A28" s="14" t="s">
        <v>59</v>
      </c>
      <c r="B28" s="15">
        <v>46050.708333333336</v>
      </c>
      <c r="C28" s="14">
        <v>16</v>
      </c>
      <c r="D28" s="14" t="s">
        <v>8</v>
      </c>
      <c r="E28" s="14" t="s">
        <v>9</v>
      </c>
      <c r="F28" s="16">
        <v>30</v>
      </c>
      <c r="G28" s="16">
        <f t="shared" si="8"/>
        <v>36</v>
      </c>
      <c r="H28" s="16">
        <f t="shared" si="1"/>
        <v>57.6</v>
      </c>
      <c r="I28" s="16">
        <f t="shared" si="2"/>
        <v>921.6</v>
      </c>
      <c r="J28" s="16">
        <f t="shared" si="3"/>
        <v>184.32000000000002</v>
      </c>
      <c r="K28" s="16">
        <f t="shared" si="4"/>
        <v>276.48</v>
      </c>
      <c r="L28" s="16">
        <f t="shared" si="5"/>
        <v>1382.4</v>
      </c>
      <c r="M28" s="16">
        <f t="shared" si="6"/>
        <v>691.2</v>
      </c>
      <c r="N28" s="16">
        <f t="shared" si="7"/>
        <v>2073.6000000000004</v>
      </c>
    </row>
    <row r="29" spans="1:14" s="17" customFormat="1" ht="31.2" x14ac:dyDescent="0.3">
      <c r="A29" s="14" t="s">
        <v>58</v>
      </c>
      <c r="B29" s="15">
        <v>46050.541666666664</v>
      </c>
      <c r="C29" s="14">
        <v>18</v>
      </c>
      <c r="D29" s="14" t="s">
        <v>8</v>
      </c>
      <c r="E29" s="14" t="s">
        <v>10</v>
      </c>
      <c r="F29" s="16">
        <v>30</v>
      </c>
      <c r="G29" s="16">
        <f t="shared" si="8"/>
        <v>36</v>
      </c>
      <c r="H29" s="16">
        <f t="shared" si="1"/>
        <v>57.6</v>
      </c>
      <c r="I29" s="16">
        <f t="shared" si="2"/>
        <v>1036.8</v>
      </c>
      <c r="J29" s="16">
        <f t="shared" si="3"/>
        <v>207.36</v>
      </c>
      <c r="K29" s="16">
        <f t="shared" si="4"/>
        <v>311.03999999999996</v>
      </c>
      <c r="L29" s="16">
        <f t="shared" si="5"/>
        <v>1555.1999999999998</v>
      </c>
      <c r="M29" s="16">
        <f t="shared" si="6"/>
        <v>777.59999999999991</v>
      </c>
      <c r="N29" s="16">
        <f t="shared" si="7"/>
        <v>2332.7999999999997</v>
      </c>
    </row>
    <row r="30" spans="1:14" s="17" customFormat="1" x14ac:dyDescent="0.3">
      <c r="A30" s="14" t="s">
        <v>57</v>
      </c>
      <c r="B30" s="15">
        <v>46051.458333333336</v>
      </c>
      <c r="C30" s="14">
        <v>10</v>
      </c>
      <c r="D30" s="14" t="s">
        <v>4</v>
      </c>
      <c r="E30" s="14" t="s">
        <v>5</v>
      </c>
      <c r="F30" s="16">
        <v>20</v>
      </c>
      <c r="G30" s="16">
        <f t="shared" si="8"/>
        <v>24</v>
      </c>
      <c r="H30" s="16">
        <f t="shared" si="1"/>
        <v>38.400000000000006</v>
      </c>
      <c r="I30" s="16">
        <f t="shared" si="2"/>
        <v>384.00000000000006</v>
      </c>
      <c r="J30" s="16">
        <f t="shared" si="3"/>
        <v>76.800000000000011</v>
      </c>
      <c r="K30" s="16">
        <f t="shared" si="4"/>
        <v>115.20000000000002</v>
      </c>
      <c r="L30" s="16">
        <f t="shared" si="5"/>
        <v>576.00000000000011</v>
      </c>
      <c r="M30" s="16">
        <f t="shared" si="6"/>
        <v>288.00000000000006</v>
      </c>
      <c r="N30" s="16">
        <f t="shared" si="7"/>
        <v>864.00000000000023</v>
      </c>
    </row>
    <row r="31" spans="1:14" s="17" customFormat="1" ht="31.2" x14ac:dyDescent="0.3">
      <c r="A31" s="14" t="s">
        <v>56</v>
      </c>
      <c r="B31" s="15">
        <v>46051.5</v>
      </c>
      <c r="C31" s="14">
        <v>3</v>
      </c>
      <c r="D31" s="14" t="s">
        <v>6</v>
      </c>
      <c r="E31" s="14" t="s">
        <v>7</v>
      </c>
      <c r="F31" s="16">
        <v>15</v>
      </c>
      <c r="G31" s="16">
        <f t="shared" si="8"/>
        <v>18</v>
      </c>
      <c r="H31" s="16">
        <f t="shared" si="1"/>
        <v>28.8</v>
      </c>
      <c r="I31" s="16">
        <f t="shared" si="2"/>
        <v>86.4</v>
      </c>
      <c r="J31" s="16">
        <f t="shared" si="3"/>
        <v>17.28</v>
      </c>
      <c r="K31" s="16">
        <f t="shared" si="4"/>
        <v>25.92</v>
      </c>
      <c r="L31" s="16">
        <f t="shared" si="5"/>
        <v>129.60000000000002</v>
      </c>
      <c r="M31" s="16">
        <f t="shared" si="6"/>
        <v>64.800000000000011</v>
      </c>
      <c r="N31" s="16">
        <f t="shared" si="7"/>
        <v>194.40000000000003</v>
      </c>
    </row>
    <row r="32" spans="1:14" s="17" customFormat="1" ht="31.2" x14ac:dyDescent="0.3">
      <c r="A32" s="14" t="s">
        <v>55</v>
      </c>
      <c r="B32" s="15">
        <v>46051.708333333336</v>
      </c>
      <c r="C32" s="14">
        <v>16</v>
      </c>
      <c r="D32" s="14" t="s">
        <v>8</v>
      </c>
      <c r="E32" s="14" t="s">
        <v>9</v>
      </c>
      <c r="F32" s="16">
        <v>20</v>
      </c>
      <c r="G32" s="16">
        <f t="shared" si="8"/>
        <v>24</v>
      </c>
      <c r="H32" s="16">
        <f t="shared" si="1"/>
        <v>38.400000000000006</v>
      </c>
      <c r="I32" s="16">
        <f t="shared" si="2"/>
        <v>614.40000000000009</v>
      </c>
      <c r="J32" s="16">
        <f t="shared" si="3"/>
        <v>122.88000000000002</v>
      </c>
      <c r="K32" s="16">
        <f t="shared" si="4"/>
        <v>184.32000000000002</v>
      </c>
      <c r="L32" s="16">
        <f t="shared" si="5"/>
        <v>921.60000000000014</v>
      </c>
      <c r="M32" s="16">
        <f t="shared" si="6"/>
        <v>460.80000000000007</v>
      </c>
      <c r="N32" s="16">
        <f t="shared" si="7"/>
        <v>1382.4</v>
      </c>
    </row>
    <row r="33" spans="1:14" s="17" customFormat="1" ht="31.2" x14ac:dyDescent="0.3">
      <c r="A33" s="14" t="s">
        <v>54</v>
      </c>
      <c r="B33" s="15">
        <v>46052.541666666664</v>
      </c>
      <c r="C33" s="14">
        <v>20</v>
      </c>
      <c r="D33" s="14" t="s">
        <v>8</v>
      </c>
      <c r="E33" s="14" t="s">
        <v>10</v>
      </c>
      <c r="F33" s="16">
        <v>20</v>
      </c>
      <c r="G33" s="16">
        <f t="shared" si="8"/>
        <v>24</v>
      </c>
      <c r="H33" s="16">
        <f t="shared" si="1"/>
        <v>38.400000000000006</v>
      </c>
      <c r="I33" s="16">
        <f t="shared" si="2"/>
        <v>768.00000000000011</v>
      </c>
      <c r="J33" s="16">
        <f t="shared" si="3"/>
        <v>153.60000000000002</v>
      </c>
      <c r="K33" s="16">
        <f t="shared" si="4"/>
        <v>230.40000000000003</v>
      </c>
      <c r="L33" s="16">
        <f t="shared" si="5"/>
        <v>1152.0000000000002</v>
      </c>
      <c r="M33" s="16">
        <f t="shared" si="6"/>
        <v>576.00000000000011</v>
      </c>
      <c r="N33" s="16">
        <f t="shared" si="7"/>
        <v>1728.0000000000005</v>
      </c>
    </row>
    <row r="34" spans="1:14" s="17" customFormat="1" x14ac:dyDescent="0.3">
      <c r="A34" s="14" t="s">
        <v>53</v>
      </c>
      <c r="B34" s="15">
        <v>46055.458333333336</v>
      </c>
      <c r="C34" s="14">
        <v>10</v>
      </c>
      <c r="D34" s="14" t="s">
        <v>4</v>
      </c>
      <c r="E34" s="14" t="s">
        <v>5</v>
      </c>
      <c r="F34" s="16">
        <v>20</v>
      </c>
      <c r="G34" s="16">
        <f t="shared" si="8"/>
        <v>24</v>
      </c>
      <c r="H34" s="16">
        <f t="shared" si="1"/>
        <v>38.400000000000006</v>
      </c>
      <c r="I34" s="16">
        <f t="shared" si="2"/>
        <v>384.00000000000006</v>
      </c>
      <c r="J34" s="16">
        <f t="shared" si="3"/>
        <v>76.800000000000011</v>
      </c>
      <c r="K34" s="16">
        <f t="shared" si="4"/>
        <v>115.20000000000002</v>
      </c>
      <c r="L34" s="16">
        <f t="shared" si="5"/>
        <v>576.00000000000011</v>
      </c>
      <c r="M34" s="16">
        <f t="shared" si="6"/>
        <v>288.00000000000006</v>
      </c>
      <c r="N34" s="16">
        <f t="shared" si="7"/>
        <v>864.00000000000023</v>
      </c>
    </row>
    <row r="35" spans="1:14" s="17" customFormat="1" ht="31.2" x14ac:dyDescent="0.3">
      <c r="A35" s="14" t="s">
        <v>52</v>
      </c>
      <c r="B35" s="15">
        <v>46055.541666666664</v>
      </c>
      <c r="C35" s="14">
        <v>4</v>
      </c>
      <c r="D35" s="14" t="s">
        <v>6</v>
      </c>
      <c r="E35" s="14" t="s">
        <v>7</v>
      </c>
      <c r="F35" s="16">
        <v>15</v>
      </c>
      <c r="G35" s="16">
        <f t="shared" si="8"/>
        <v>18</v>
      </c>
      <c r="H35" s="16">
        <f t="shared" si="1"/>
        <v>28.8</v>
      </c>
      <c r="I35" s="16">
        <f t="shared" si="2"/>
        <v>115.2</v>
      </c>
      <c r="J35" s="16">
        <f t="shared" si="3"/>
        <v>23.040000000000003</v>
      </c>
      <c r="K35" s="16">
        <f t="shared" si="4"/>
        <v>34.56</v>
      </c>
      <c r="L35" s="16">
        <f t="shared" si="5"/>
        <v>172.8</v>
      </c>
      <c r="M35" s="16">
        <f t="shared" si="6"/>
        <v>86.4</v>
      </c>
      <c r="N35" s="16">
        <f t="shared" si="7"/>
        <v>259.20000000000005</v>
      </c>
    </row>
    <row r="36" spans="1:14" s="21" customFormat="1" ht="31.2" x14ac:dyDescent="0.3">
      <c r="A36" s="18" t="s">
        <v>51</v>
      </c>
      <c r="B36" s="19">
        <v>46056.541666666664</v>
      </c>
      <c r="C36" s="18">
        <v>12</v>
      </c>
      <c r="D36" s="18" t="s">
        <v>8</v>
      </c>
      <c r="E36" s="18" t="s">
        <v>9</v>
      </c>
      <c r="F36" s="20">
        <v>30</v>
      </c>
      <c r="G36" s="20">
        <f t="shared" si="8"/>
        <v>36</v>
      </c>
      <c r="H36" s="20">
        <f t="shared" si="1"/>
        <v>57.6</v>
      </c>
      <c r="I36" s="20">
        <f t="shared" si="2"/>
        <v>691.2</v>
      </c>
      <c r="J36" s="20">
        <f t="shared" si="3"/>
        <v>138.24</v>
      </c>
      <c r="K36" s="20">
        <f t="shared" si="4"/>
        <v>207.36</v>
      </c>
      <c r="L36" s="20">
        <f t="shared" si="5"/>
        <v>1036.8000000000002</v>
      </c>
      <c r="M36" s="20">
        <f t="shared" si="6"/>
        <v>518.40000000000009</v>
      </c>
      <c r="N36" s="20">
        <f t="shared" si="7"/>
        <v>1555.2000000000003</v>
      </c>
    </row>
    <row r="37" spans="1:14" s="21" customFormat="1" ht="31.2" x14ac:dyDescent="0.3">
      <c r="A37" s="18" t="s">
        <v>50</v>
      </c>
      <c r="B37" s="19">
        <v>46056.708333333336</v>
      </c>
      <c r="C37" s="18">
        <v>16</v>
      </c>
      <c r="D37" s="18" t="s">
        <v>8</v>
      </c>
      <c r="E37" s="18" t="s">
        <v>10</v>
      </c>
      <c r="F37" s="20">
        <v>30</v>
      </c>
      <c r="G37" s="20">
        <f t="shared" si="8"/>
        <v>36</v>
      </c>
      <c r="H37" s="20">
        <f t="shared" si="1"/>
        <v>57.6</v>
      </c>
      <c r="I37" s="20">
        <f t="shared" si="2"/>
        <v>921.6</v>
      </c>
      <c r="J37" s="20">
        <f t="shared" si="3"/>
        <v>184.32000000000002</v>
      </c>
      <c r="K37" s="20">
        <f t="shared" si="4"/>
        <v>276.48</v>
      </c>
      <c r="L37" s="20">
        <f t="shared" si="5"/>
        <v>1382.4</v>
      </c>
      <c r="M37" s="20">
        <f t="shared" si="6"/>
        <v>691.2</v>
      </c>
      <c r="N37" s="20">
        <f t="shared" si="7"/>
        <v>2073.6000000000004</v>
      </c>
    </row>
    <row r="38" spans="1:14" s="21" customFormat="1" x14ac:dyDescent="0.3">
      <c r="A38" s="18" t="s">
        <v>49</v>
      </c>
      <c r="B38" s="19">
        <v>46057.458333333336</v>
      </c>
      <c r="C38" s="18">
        <v>10</v>
      </c>
      <c r="D38" s="18" t="s">
        <v>4</v>
      </c>
      <c r="E38" s="18" t="s">
        <v>5</v>
      </c>
      <c r="F38" s="20">
        <v>20</v>
      </c>
      <c r="G38" s="20">
        <f t="shared" si="8"/>
        <v>24</v>
      </c>
      <c r="H38" s="20">
        <f t="shared" si="1"/>
        <v>38.400000000000006</v>
      </c>
      <c r="I38" s="20">
        <f t="shared" si="2"/>
        <v>384.00000000000006</v>
      </c>
      <c r="J38" s="20">
        <f t="shared" si="3"/>
        <v>76.800000000000011</v>
      </c>
      <c r="K38" s="20">
        <f t="shared" si="4"/>
        <v>115.20000000000002</v>
      </c>
      <c r="L38" s="20">
        <f t="shared" si="5"/>
        <v>576.00000000000011</v>
      </c>
      <c r="M38" s="20">
        <f t="shared" si="6"/>
        <v>288.00000000000006</v>
      </c>
      <c r="N38" s="20">
        <f t="shared" si="7"/>
        <v>864.00000000000023</v>
      </c>
    </row>
    <row r="39" spans="1:14" s="21" customFormat="1" ht="31.2" x14ac:dyDescent="0.3">
      <c r="A39" s="18" t="s">
        <v>48</v>
      </c>
      <c r="B39" s="19">
        <v>46057.458333333336</v>
      </c>
      <c r="C39" s="18">
        <v>3</v>
      </c>
      <c r="D39" s="18" t="s">
        <v>6</v>
      </c>
      <c r="E39" s="18" t="s">
        <v>7</v>
      </c>
      <c r="F39" s="20">
        <v>15</v>
      </c>
      <c r="G39" s="20">
        <f t="shared" si="8"/>
        <v>18</v>
      </c>
      <c r="H39" s="20">
        <f t="shared" si="1"/>
        <v>28.8</v>
      </c>
      <c r="I39" s="20">
        <f t="shared" si="2"/>
        <v>86.4</v>
      </c>
      <c r="J39" s="20">
        <f t="shared" si="3"/>
        <v>17.28</v>
      </c>
      <c r="K39" s="20">
        <f t="shared" si="4"/>
        <v>25.92</v>
      </c>
      <c r="L39" s="20">
        <f t="shared" si="5"/>
        <v>129.60000000000002</v>
      </c>
      <c r="M39" s="20">
        <f t="shared" si="6"/>
        <v>64.800000000000011</v>
      </c>
      <c r="N39" s="20">
        <f t="shared" si="7"/>
        <v>194.40000000000003</v>
      </c>
    </row>
    <row r="40" spans="1:14" s="21" customFormat="1" ht="31.2" x14ac:dyDescent="0.3">
      <c r="A40" s="18" t="s">
        <v>47</v>
      </c>
      <c r="B40" s="19">
        <v>46057.708333333336</v>
      </c>
      <c r="C40" s="18">
        <v>16</v>
      </c>
      <c r="D40" s="18" t="s">
        <v>8</v>
      </c>
      <c r="E40" s="18" t="s">
        <v>9</v>
      </c>
      <c r="F40" s="20">
        <v>30</v>
      </c>
      <c r="G40" s="20">
        <f t="shared" si="8"/>
        <v>36</v>
      </c>
      <c r="H40" s="20">
        <f t="shared" si="1"/>
        <v>57.6</v>
      </c>
      <c r="I40" s="20">
        <f t="shared" si="2"/>
        <v>921.6</v>
      </c>
      <c r="J40" s="20">
        <f t="shared" si="3"/>
        <v>184.32000000000002</v>
      </c>
      <c r="K40" s="20">
        <f t="shared" si="4"/>
        <v>276.48</v>
      </c>
      <c r="L40" s="20">
        <f t="shared" si="5"/>
        <v>1382.4</v>
      </c>
      <c r="M40" s="20">
        <f t="shared" si="6"/>
        <v>691.2</v>
      </c>
      <c r="N40" s="20">
        <f t="shared" si="7"/>
        <v>2073.6000000000004</v>
      </c>
    </row>
    <row r="41" spans="1:14" s="21" customFormat="1" ht="31.2" x14ac:dyDescent="0.3">
      <c r="A41" s="18" t="s">
        <v>46</v>
      </c>
      <c r="B41" s="19">
        <v>46058.458333333336</v>
      </c>
      <c r="C41" s="18">
        <v>18</v>
      </c>
      <c r="D41" s="18" t="s">
        <v>8</v>
      </c>
      <c r="E41" s="18" t="s">
        <v>10</v>
      </c>
      <c r="F41" s="20">
        <v>30</v>
      </c>
      <c r="G41" s="20">
        <f t="shared" si="8"/>
        <v>36</v>
      </c>
      <c r="H41" s="20">
        <f t="shared" si="1"/>
        <v>57.6</v>
      </c>
      <c r="I41" s="20">
        <f t="shared" si="2"/>
        <v>1036.8</v>
      </c>
      <c r="J41" s="20">
        <f t="shared" si="3"/>
        <v>207.36</v>
      </c>
      <c r="K41" s="20">
        <f t="shared" si="4"/>
        <v>311.03999999999996</v>
      </c>
      <c r="L41" s="20">
        <f t="shared" si="5"/>
        <v>1555.1999999999998</v>
      </c>
      <c r="M41" s="20">
        <f t="shared" si="6"/>
        <v>777.59999999999991</v>
      </c>
      <c r="N41" s="20">
        <f t="shared" si="7"/>
        <v>2332.7999999999997</v>
      </c>
    </row>
    <row r="42" spans="1:14" s="21" customFormat="1" x14ac:dyDescent="0.3">
      <c r="A42" s="18" t="s">
        <v>45</v>
      </c>
      <c r="B42" s="19">
        <v>46058.625</v>
      </c>
      <c r="C42" s="18">
        <v>6</v>
      </c>
      <c r="D42" s="18" t="s">
        <v>4</v>
      </c>
      <c r="E42" s="18" t="s">
        <v>5</v>
      </c>
      <c r="F42" s="20">
        <v>20</v>
      </c>
      <c r="G42" s="20">
        <f t="shared" si="8"/>
        <v>24</v>
      </c>
      <c r="H42" s="20">
        <f t="shared" si="1"/>
        <v>38.400000000000006</v>
      </c>
      <c r="I42" s="20">
        <f t="shared" si="2"/>
        <v>230.40000000000003</v>
      </c>
      <c r="J42" s="20">
        <f t="shared" si="3"/>
        <v>46.080000000000013</v>
      </c>
      <c r="K42" s="20">
        <f t="shared" si="4"/>
        <v>69.12</v>
      </c>
      <c r="L42" s="20">
        <f t="shared" si="5"/>
        <v>345.6</v>
      </c>
      <c r="M42" s="20">
        <f t="shared" si="6"/>
        <v>172.8</v>
      </c>
      <c r="N42" s="20">
        <f t="shared" si="7"/>
        <v>518.40000000000009</v>
      </c>
    </row>
    <row r="43" spans="1:14" s="21" customFormat="1" ht="31.2" x14ac:dyDescent="0.3">
      <c r="A43" s="18" t="s">
        <v>44</v>
      </c>
      <c r="B43" s="19">
        <v>46059.5</v>
      </c>
      <c r="C43" s="18">
        <v>3</v>
      </c>
      <c r="D43" s="18" t="s">
        <v>6</v>
      </c>
      <c r="E43" s="18" t="s">
        <v>7</v>
      </c>
      <c r="F43" s="20">
        <v>15</v>
      </c>
      <c r="G43" s="20">
        <f t="shared" si="8"/>
        <v>18</v>
      </c>
      <c r="H43" s="20">
        <f t="shared" si="1"/>
        <v>28.8</v>
      </c>
      <c r="I43" s="20">
        <f t="shared" si="2"/>
        <v>86.4</v>
      </c>
      <c r="J43" s="20">
        <f t="shared" si="3"/>
        <v>17.28</v>
      </c>
      <c r="K43" s="20">
        <f t="shared" si="4"/>
        <v>25.92</v>
      </c>
      <c r="L43" s="20">
        <f t="shared" si="5"/>
        <v>129.60000000000002</v>
      </c>
      <c r="M43" s="20">
        <f t="shared" si="6"/>
        <v>64.800000000000011</v>
      </c>
      <c r="N43" s="20">
        <f t="shared" si="7"/>
        <v>194.40000000000003</v>
      </c>
    </row>
    <row r="44" spans="1:14" s="21" customFormat="1" ht="31.2" x14ac:dyDescent="0.3">
      <c r="A44" s="18" t="s">
        <v>43</v>
      </c>
      <c r="B44" s="19">
        <v>46059.708333333336</v>
      </c>
      <c r="C44" s="18">
        <v>16</v>
      </c>
      <c r="D44" s="18" t="s">
        <v>8</v>
      </c>
      <c r="E44" s="18" t="s">
        <v>9</v>
      </c>
      <c r="F44" s="20">
        <v>30</v>
      </c>
      <c r="G44" s="20">
        <f t="shared" ref="G44:G49" si="9">F44*1.2</f>
        <v>36</v>
      </c>
      <c r="H44" s="20">
        <f t="shared" si="1"/>
        <v>57.6</v>
      </c>
      <c r="I44" s="20">
        <f t="shared" si="2"/>
        <v>921.6</v>
      </c>
      <c r="J44" s="20">
        <f t="shared" si="3"/>
        <v>184.32000000000002</v>
      </c>
      <c r="K44" s="20">
        <f t="shared" si="4"/>
        <v>276.48</v>
      </c>
      <c r="L44" s="20">
        <f t="shared" si="5"/>
        <v>1382.4</v>
      </c>
      <c r="M44" s="20">
        <f t="shared" si="6"/>
        <v>691.2</v>
      </c>
      <c r="N44" s="20">
        <f t="shared" si="7"/>
        <v>2073.6000000000004</v>
      </c>
    </row>
    <row r="45" spans="1:14" s="21" customFormat="1" ht="31.2" x14ac:dyDescent="0.3">
      <c r="A45" s="18" t="s">
        <v>42</v>
      </c>
      <c r="B45" s="19">
        <v>46062.458333333336</v>
      </c>
      <c r="C45" s="18">
        <v>18</v>
      </c>
      <c r="D45" s="18" t="s">
        <v>8</v>
      </c>
      <c r="E45" s="18" t="s">
        <v>10</v>
      </c>
      <c r="F45" s="20">
        <v>30</v>
      </c>
      <c r="G45" s="20">
        <f t="shared" si="9"/>
        <v>36</v>
      </c>
      <c r="H45" s="20">
        <f t="shared" si="1"/>
        <v>57.6</v>
      </c>
      <c r="I45" s="20">
        <f t="shared" si="2"/>
        <v>1036.8</v>
      </c>
      <c r="J45" s="20">
        <f t="shared" si="3"/>
        <v>207.36</v>
      </c>
      <c r="K45" s="20">
        <f t="shared" si="4"/>
        <v>311.03999999999996</v>
      </c>
      <c r="L45" s="20">
        <f t="shared" si="5"/>
        <v>1555.1999999999998</v>
      </c>
      <c r="M45" s="20">
        <f t="shared" si="6"/>
        <v>777.59999999999991</v>
      </c>
      <c r="N45" s="20">
        <f t="shared" si="7"/>
        <v>2332.7999999999997</v>
      </c>
    </row>
    <row r="46" spans="1:14" s="21" customFormat="1" x14ac:dyDescent="0.3">
      <c r="A46" s="18" t="s">
        <v>41</v>
      </c>
      <c r="B46" s="19">
        <v>46062.666666666664</v>
      </c>
      <c r="C46" s="18">
        <v>6</v>
      </c>
      <c r="D46" s="18" t="s">
        <v>4</v>
      </c>
      <c r="E46" s="18" t="s">
        <v>5</v>
      </c>
      <c r="F46" s="20">
        <v>20</v>
      </c>
      <c r="G46" s="20">
        <f t="shared" si="9"/>
        <v>24</v>
      </c>
      <c r="H46" s="20">
        <f t="shared" si="1"/>
        <v>38.400000000000006</v>
      </c>
      <c r="I46" s="20">
        <f t="shared" si="2"/>
        <v>230.40000000000003</v>
      </c>
      <c r="J46" s="20">
        <f t="shared" si="3"/>
        <v>46.080000000000013</v>
      </c>
      <c r="K46" s="20">
        <f t="shared" si="4"/>
        <v>69.12</v>
      </c>
      <c r="L46" s="20">
        <f t="shared" si="5"/>
        <v>345.6</v>
      </c>
      <c r="M46" s="20">
        <f t="shared" si="6"/>
        <v>172.8</v>
      </c>
      <c r="N46" s="20">
        <f t="shared" si="7"/>
        <v>518.40000000000009</v>
      </c>
    </row>
    <row r="47" spans="1:14" s="21" customFormat="1" ht="31.2" x14ac:dyDescent="0.3">
      <c r="A47" s="18" t="s">
        <v>40</v>
      </c>
      <c r="B47" s="19">
        <v>46065.5</v>
      </c>
      <c r="C47" s="18">
        <v>3</v>
      </c>
      <c r="D47" s="18" t="s">
        <v>6</v>
      </c>
      <c r="E47" s="18" t="s">
        <v>7</v>
      </c>
      <c r="F47" s="20">
        <v>15</v>
      </c>
      <c r="G47" s="20">
        <f t="shared" si="9"/>
        <v>18</v>
      </c>
      <c r="H47" s="20">
        <f t="shared" si="1"/>
        <v>28.8</v>
      </c>
      <c r="I47" s="20">
        <f t="shared" si="2"/>
        <v>86.4</v>
      </c>
      <c r="J47" s="20">
        <f t="shared" si="3"/>
        <v>17.28</v>
      </c>
      <c r="K47" s="20">
        <f t="shared" si="4"/>
        <v>25.92</v>
      </c>
      <c r="L47" s="20">
        <f t="shared" si="5"/>
        <v>129.60000000000002</v>
      </c>
      <c r="M47" s="20">
        <f t="shared" si="6"/>
        <v>64.800000000000011</v>
      </c>
      <c r="N47" s="20">
        <f t="shared" si="7"/>
        <v>194.40000000000003</v>
      </c>
    </row>
    <row r="48" spans="1:14" s="25" customFormat="1" ht="31.2" x14ac:dyDescent="0.3">
      <c r="A48" s="22" t="s">
        <v>39</v>
      </c>
      <c r="B48" s="23">
        <v>46066.625</v>
      </c>
      <c r="C48" s="22">
        <v>14</v>
      </c>
      <c r="D48" s="22" t="s">
        <v>8</v>
      </c>
      <c r="E48" s="22" t="s">
        <v>9</v>
      </c>
      <c r="F48" s="24">
        <v>30</v>
      </c>
      <c r="G48" s="24">
        <f t="shared" si="9"/>
        <v>36</v>
      </c>
      <c r="H48" s="24">
        <f t="shared" si="1"/>
        <v>57.6</v>
      </c>
      <c r="I48" s="24">
        <f t="shared" si="2"/>
        <v>806.4</v>
      </c>
      <c r="J48" s="24">
        <f t="shared" si="3"/>
        <v>161.28</v>
      </c>
      <c r="K48" s="24">
        <f t="shared" si="4"/>
        <v>241.92</v>
      </c>
      <c r="L48" s="24">
        <f t="shared" si="5"/>
        <v>1209.5999999999999</v>
      </c>
      <c r="M48" s="24">
        <f t="shared" si="6"/>
        <v>604.79999999999995</v>
      </c>
      <c r="N48" s="24">
        <f t="shared" si="7"/>
        <v>1814.3999999999999</v>
      </c>
    </row>
    <row r="49" spans="1:14" s="25" customFormat="1" ht="31.2" x14ac:dyDescent="0.3">
      <c r="A49" s="22" t="s">
        <v>38</v>
      </c>
      <c r="B49" s="35">
        <v>46067.458333333336</v>
      </c>
      <c r="C49" s="22">
        <v>18</v>
      </c>
      <c r="D49" s="22" t="s">
        <v>8</v>
      </c>
      <c r="E49" s="22" t="s">
        <v>10</v>
      </c>
      <c r="F49" s="24">
        <v>30</v>
      </c>
      <c r="G49" s="24">
        <f t="shared" si="9"/>
        <v>36</v>
      </c>
      <c r="H49" s="24">
        <f t="shared" si="1"/>
        <v>57.6</v>
      </c>
      <c r="I49" s="24">
        <f t="shared" si="2"/>
        <v>1036.8</v>
      </c>
      <c r="J49" s="24">
        <f t="shared" si="3"/>
        <v>207.36</v>
      </c>
      <c r="K49" s="24">
        <f t="shared" si="4"/>
        <v>311.03999999999996</v>
      </c>
      <c r="L49" s="24">
        <f t="shared" si="5"/>
        <v>1555.1999999999998</v>
      </c>
      <c r="M49" s="24">
        <f t="shared" si="6"/>
        <v>777.59999999999991</v>
      </c>
      <c r="N49" s="24">
        <f t="shared" si="7"/>
        <v>2332.7999999999997</v>
      </c>
    </row>
    <row r="50" spans="1:14" x14ac:dyDescent="0.3">
      <c r="J50" s="2" t="s">
        <v>69</v>
      </c>
      <c r="K50" s="2">
        <f>SUM(K2:K49)</f>
        <v>7663.6799999999994</v>
      </c>
      <c r="L50" s="33">
        <f>SUM(L2:L49)</f>
        <v>38318.399999999987</v>
      </c>
      <c r="M50" s="2">
        <f>SUM(M2:M49)</f>
        <v>19159.199999999993</v>
      </c>
      <c r="N50" s="34">
        <f t="shared" si="7"/>
        <v>57477.599999999977</v>
      </c>
    </row>
    <row r="54" spans="1:14" x14ac:dyDescent="0.3">
      <c r="B54" s="2" t="s">
        <v>70</v>
      </c>
      <c r="C54" s="4" t="s">
        <v>71</v>
      </c>
      <c r="D54" s="32" t="s">
        <v>72</v>
      </c>
      <c r="E54" s="12" t="s">
        <v>73</v>
      </c>
      <c r="F54" s="16" t="s">
        <v>74</v>
      </c>
      <c r="G54" s="20" t="s">
        <v>75</v>
      </c>
      <c r="H54" s="24" t="s">
        <v>76</v>
      </c>
    </row>
    <row r="55" spans="1:14" x14ac:dyDescent="0.3">
      <c r="B55" s="2" t="s">
        <v>77</v>
      </c>
      <c r="C55" s="33">
        <f>SUM(L2:L9)</f>
        <v>5112</v>
      </c>
      <c r="D55" s="33">
        <f>SUM(L10:L15)</f>
        <v>3715.2000000000007</v>
      </c>
      <c r="E55" s="33">
        <f>SUM(L16:L25)</f>
        <v>9604.7999999999993</v>
      </c>
      <c r="F55" s="33">
        <f>SUM(L26:L35)</f>
        <v>7171.2000000000007</v>
      </c>
      <c r="G55" s="33">
        <f>SUM(L36:L47)</f>
        <v>9950.4000000000015</v>
      </c>
      <c r="H55" s="33">
        <f>SUM(L48:L49)</f>
        <v>2764.7999999999997</v>
      </c>
      <c r="J55" s="31">
        <f>SUM(C55:H55)</f>
        <v>38318.400000000009</v>
      </c>
    </row>
    <row r="56" spans="1:14" x14ac:dyDescent="0.3">
      <c r="B56" s="2" t="s">
        <v>78</v>
      </c>
      <c r="C56" s="34">
        <f>N50*0.3</f>
        <v>17243.279999999992</v>
      </c>
      <c r="D56" s="2"/>
      <c r="E56" s="2"/>
      <c r="F56" s="34">
        <f>N50*0.2</f>
        <v>11495.519999999997</v>
      </c>
      <c r="G56" s="2"/>
      <c r="H56" s="2"/>
      <c r="I56" s="30">
        <f>N50*0.5</f>
        <v>28738.799999999988</v>
      </c>
      <c r="J56" s="29">
        <f>SUM(C56:I56)</f>
        <v>57477.599999999977</v>
      </c>
    </row>
    <row r="57" spans="1:14" x14ac:dyDescent="0.3">
      <c r="A57" s="27" t="s">
        <v>79</v>
      </c>
      <c r="B57" s="2">
        <v>1000</v>
      </c>
      <c r="C57" s="2">
        <f t="shared" ref="C57:I57" si="10">B57-C55+C56</f>
        <v>13131.279999999992</v>
      </c>
      <c r="D57" s="2">
        <f t="shared" si="10"/>
        <v>9416.0799999999908</v>
      </c>
      <c r="E57" s="2">
        <f t="shared" si="10"/>
        <v>-188.72000000000844</v>
      </c>
      <c r="F57" s="2">
        <f t="shared" si="10"/>
        <v>4135.5999999999876</v>
      </c>
      <c r="G57" s="2">
        <f t="shared" si="10"/>
        <v>-5814.8000000000138</v>
      </c>
      <c r="H57" s="2">
        <f t="shared" si="10"/>
        <v>-8579.6000000000131</v>
      </c>
      <c r="I57" s="28">
        <f t="shared" si="10"/>
        <v>20159.199999999975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baseColWidth="10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TrelloExport</vt:lpstr>
      <vt:lpstr>Archived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casca salome</dc:creator>
  <cp:lastModifiedBy>Salomé Casca</cp:lastModifiedBy>
  <dcterms:created xsi:type="dcterms:W3CDTF">2025-12-10T19:15:55Z</dcterms:created>
  <dcterms:modified xsi:type="dcterms:W3CDTF">2025-12-15T12:50:54Z</dcterms:modified>
</cp:coreProperties>
</file>